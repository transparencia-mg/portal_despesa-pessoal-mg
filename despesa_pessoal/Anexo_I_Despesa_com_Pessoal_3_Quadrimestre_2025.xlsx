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tulio.garcias\OneDrive - SEF-MG\Área de Trabalho\"/>
    </mc:Choice>
  </mc:AlternateContent>
  <xr:revisionPtr revIDLastSave="0" documentId="8_{FA596188-816A-4489-BCC7-AF75FEB542D4}" xr6:coauthVersionLast="47" xr6:coauthVersionMax="47" xr10:uidLastSave="{00000000-0000-0000-0000-000000000000}"/>
  <bookViews>
    <workbookView xWindow="-120" yWindow="-120" windowWidth="29040" windowHeight="15720" xr2:uid="{D6CC5579-95F9-496B-B5A5-7DF8BD4AB33E}"/>
  </bookViews>
  <sheets>
    <sheet name="Publicação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I66" i="1"/>
  <c r="H66" i="1"/>
  <c r="G66" i="1"/>
  <c r="H53" i="1"/>
  <c r="H52" i="1"/>
  <c r="H51" i="1"/>
  <c r="H56" i="1" s="1"/>
  <c r="J46" i="1"/>
  <c r="T26" i="1" s="1"/>
  <c r="H46" i="1"/>
  <c r="M46" i="1" s="1"/>
  <c r="G45" i="1"/>
  <c r="F45" i="1"/>
  <c r="E45" i="1"/>
  <c r="D45" i="1"/>
  <c r="J44" i="1"/>
  <c r="T24" i="1" s="1"/>
  <c r="H44" i="1"/>
  <c r="M44" i="1" s="1"/>
  <c r="G43" i="1"/>
  <c r="F43" i="1"/>
  <c r="E43" i="1"/>
  <c r="D43" i="1"/>
  <c r="J42" i="1"/>
  <c r="T22" i="1" s="1"/>
  <c r="H42" i="1"/>
  <c r="M42" i="1" s="1"/>
  <c r="G42" i="1"/>
  <c r="F42" i="1"/>
  <c r="E42" i="1"/>
  <c r="D42" i="1"/>
  <c r="L42" i="1" s="1"/>
  <c r="I41" i="1"/>
  <c r="G41" i="1"/>
  <c r="F41" i="1"/>
  <c r="E41" i="1"/>
  <c r="D41" i="1"/>
  <c r="H40" i="1"/>
  <c r="G40" i="1"/>
  <c r="G39" i="1" s="1"/>
  <c r="F40" i="1"/>
  <c r="F39" i="1" s="1"/>
  <c r="E40" i="1"/>
  <c r="D40" i="1"/>
  <c r="L40" i="1" s="1"/>
  <c r="I39" i="1"/>
  <c r="E39" i="1"/>
  <c r="D39" i="1"/>
  <c r="G38" i="1"/>
  <c r="F38" i="1"/>
  <c r="E38" i="1"/>
  <c r="D38" i="1"/>
  <c r="J37" i="1"/>
  <c r="T17" i="1" s="1"/>
  <c r="H37" i="1"/>
  <c r="M37" i="1" s="1"/>
  <c r="G37" i="1"/>
  <c r="F37" i="1"/>
  <c r="E37" i="1"/>
  <c r="D37" i="1"/>
  <c r="L37" i="1" s="1"/>
  <c r="G36" i="1"/>
  <c r="F36" i="1"/>
  <c r="E36" i="1"/>
  <c r="D36" i="1"/>
  <c r="G35" i="1"/>
  <c r="F35" i="1"/>
  <c r="F34" i="1" s="1"/>
  <c r="E35" i="1"/>
  <c r="E34" i="1" s="1"/>
  <c r="D35" i="1"/>
  <c r="I34" i="1"/>
  <c r="D34" i="1"/>
  <c r="I33" i="1"/>
  <c r="G33" i="1"/>
  <c r="F33" i="1"/>
  <c r="E33" i="1"/>
  <c r="D33" i="1"/>
  <c r="I32" i="1"/>
  <c r="I31" i="1" s="1"/>
  <c r="I30" i="1" s="1"/>
  <c r="G32" i="1"/>
  <c r="F32" i="1"/>
  <c r="E32" i="1"/>
  <c r="D32" i="1"/>
  <c r="H32" i="1" s="1"/>
  <c r="G31" i="1"/>
  <c r="F31" i="1"/>
  <c r="E31" i="1"/>
  <c r="E30" i="1" s="1"/>
  <c r="S26" i="1"/>
  <c r="F25" i="1"/>
  <c r="E25" i="1"/>
  <c r="E19" i="1" s="1"/>
  <c r="D25" i="1"/>
  <c r="D19" i="1" s="1"/>
  <c r="C25" i="1"/>
  <c r="S24" i="1"/>
  <c r="S22" i="1"/>
  <c r="S20" i="1"/>
  <c r="F19" i="1"/>
  <c r="C19" i="1"/>
  <c r="S17" i="1"/>
  <c r="F14" i="1"/>
  <c r="E14" i="1"/>
  <c r="D14" i="1"/>
  <c r="D10" i="1" s="1"/>
  <c r="C14" i="1"/>
  <c r="C10" i="1" s="1"/>
  <c r="F11" i="1"/>
  <c r="E11" i="1"/>
  <c r="E10" i="1" s="1"/>
  <c r="D11" i="1"/>
  <c r="F10" i="1"/>
  <c r="F27" i="1" s="1"/>
  <c r="F66" i="1" s="1"/>
  <c r="E47" i="1" l="1"/>
  <c r="E67" i="1" s="1"/>
  <c r="S13" i="1"/>
  <c r="E27" i="1"/>
  <c r="E66" i="1" s="1"/>
  <c r="F30" i="1"/>
  <c r="I67" i="1"/>
  <c r="I47" i="1"/>
  <c r="H34" i="1"/>
  <c r="S14" i="1" s="1"/>
  <c r="S18" i="1"/>
  <c r="C27" i="1"/>
  <c r="C66" i="1" s="1"/>
  <c r="J32" i="1"/>
  <c r="S12" i="1"/>
  <c r="M32" i="1"/>
  <c r="T12" i="1"/>
  <c r="D27" i="1"/>
  <c r="D66" i="1" s="1"/>
  <c r="L43" i="1"/>
  <c r="H58" i="1"/>
  <c r="H60" i="1"/>
  <c r="H59" i="1"/>
  <c r="L32" i="1"/>
  <c r="H33" i="1"/>
  <c r="L33" i="1" s="1"/>
  <c r="H35" i="1"/>
  <c r="H38" i="1"/>
  <c r="J40" i="1"/>
  <c r="M40" i="1" s="1"/>
  <c r="H43" i="1"/>
  <c r="L44" i="1"/>
  <c r="H45" i="1"/>
  <c r="L46" i="1"/>
  <c r="H41" i="1"/>
  <c r="H39" i="1" s="1"/>
  <c r="D31" i="1"/>
  <c r="G34" i="1"/>
  <c r="L34" i="1" s="1"/>
  <c r="H36" i="1"/>
  <c r="S19" i="1" l="1"/>
  <c r="L39" i="1"/>
  <c r="T18" i="1"/>
  <c r="M38" i="1"/>
  <c r="J38" i="1"/>
  <c r="L41" i="1"/>
  <c r="J35" i="1"/>
  <c r="T15" i="1" s="1"/>
  <c r="G30" i="1"/>
  <c r="S15" i="1"/>
  <c r="T20" i="1"/>
  <c r="J34" i="1"/>
  <c r="T14" i="1" s="1"/>
  <c r="J45" i="1"/>
  <c r="M45" i="1" s="1"/>
  <c r="S25" i="1"/>
  <c r="F47" i="1"/>
  <c r="F67" i="1"/>
  <c r="J41" i="1"/>
  <c r="M41" i="1"/>
  <c r="T21" i="1"/>
  <c r="S21" i="1"/>
  <c r="J36" i="1"/>
  <c r="T16" i="1" s="1"/>
  <c r="S16" i="1"/>
  <c r="J33" i="1"/>
  <c r="M33" i="1" s="1"/>
  <c r="L31" i="1"/>
  <c r="D30" i="1"/>
  <c r="H31" i="1"/>
  <c r="M43" i="1"/>
  <c r="J43" i="1"/>
  <c r="J39" i="1" s="1"/>
  <c r="T23" i="1"/>
  <c r="S23" i="1"/>
  <c r="L45" i="1"/>
  <c r="L35" i="1"/>
  <c r="L36" i="1"/>
  <c r="L38" i="1"/>
  <c r="T19" i="1" l="1"/>
  <c r="M39" i="1"/>
  <c r="T13" i="1"/>
  <c r="M34" i="1"/>
  <c r="M35" i="1"/>
  <c r="M31" i="1"/>
  <c r="H30" i="1"/>
  <c r="J31" i="1"/>
  <c r="J30" i="1" s="1"/>
  <c r="S10" i="1"/>
  <c r="D47" i="1"/>
  <c r="D67" i="1" s="1"/>
  <c r="M36" i="1"/>
  <c r="T25" i="1"/>
  <c r="S11" i="1"/>
  <c r="G47" i="1"/>
  <c r="G67" i="1"/>
  <c r="T10" i="1" l="1"/>
  <c r="M30" i="1"/>
  <c r="H47" i="1"/>
  <c r="L47" i="1"/>
  <c r="S27" i="1"/>
  <c r="J47" i="1"/>
  <c r="H57" i="1" s="1"/>
  <c r="J57" i="1" s="1"/>
  <c r="L30" i="1"/>
  <c r="T11" i="1"/>
  <c r="M47" i="1" l="1"/>
  <c r="T27" i="1"/>
  <c r="J67" i="1"/>
  <c r="H67" i="1"/>
</calcChain>
</file>

<file path=xl/sharedStrings.xml><?xml version="1.0" encoding="utf-8"?>
<sst xmlns="http://schemas.openxmlformats.org/spreadsheetml/2006/main" count="76" uniqueCount="58">
  <si>
    <t>ESTADO DE MINAS GERAIS – PODER EXECUTIVO</t>
  </si>
  <si>
    <t>RELATÓRIO DE GESTÃO FISCAL</t>
  </si>
  <si>
    <t>DEMONSTRATIVO DA DESPESA COM PESSOAL</t>
  </si>
  <si>
    <t>ORÇAMENTO FISCAL</t>
  </si>
  <si>
    <t>JANEIRO A DEZEMBRO/2025</t>
  </si>
  <si>
    <t>RGF - ANEXO 1 (LRF. art. 55, inciso I. alínea "a") - Portaria 699/23 STN</t>
  </si>
  <si>
    <t>Em Reais</t>
  </si>
  <si>
    <t>DESPESA COM PESSOAL</t>
  </si>
  <si>
    <t>Jan/25</t>
  </si>
  <si>
    <t>Fev/25</t>
  </si>
  <si>
    <t>Mar/25</t>
  </si>
  <si>
    <t>Abr/25</t>
  </si>
  <si>
    <t xml:space="preserve"> Mai/25</t>
  </si>
  <si>
    <t>Jun/25</t>
  </si>
  <si>
    <t xml:space="preserve"> Jul/25</t>
  </si>
  <si>
    <t xml:space="preserve"> Ago/25</t>
  </si>
  <si>
    <t>DESPESA BRUTA COM PESSOAL (I)</t>
  </si>
  <si>
    <t xml:space="preserve">   Pessoal Ativo</t>
  </si>
  <si>
    <t xml:space="preserve">      Vencimentos, Vantagens e Outras Despesas Variáveis</t>
  </si>
  <si>
    <t xml:space="preserve">     Obrigações Patronais</t>
  </si>
  <si>
    <t xml:space="preserve">   Pessoal Inativo e Pensionistas</t>
  </si>
  <si>
    <t xml:space="preserve">     Aposentadorias, Reserva e Reformas</t>
  </si>
  <si>
    <t xml:space="preserve">     Pensões</t>
  </si>
  <si>
    <t xml:space="preserve">   Outras Despesas de Pessoal Decorrentes de Contratos de Terceirização ou de Contratação de Forma Indireta (§ 1º do art. 18 da LRF)</t>
  </si>
  <si>
    <t xml:space="preserve">   Despesa com Pessoal não Executada Orçamentariamente</t>
  </si>
  <si>
    <t>DESPESAS NÃO COMPUTADAS (II) (§ 1º do art. 19 da LRF)</t>
  </si>
  <si>
    <t xml:space="preserve">  Indenizações por Demissão e Incentivos à Demissão Voluntária</t>
  </si>
  <si>
    <t xml:space="preserve">  Decorrentes de Decisão Judicial de Período Anterior ao da Apuração</t>
  </si>
  <si>
    <t xml:space="preserve">  Despesas de Exercícios Anteriores de Período Anterior ao da Apuração</t>
  </si>
  <si>
    <t xml:space="preserve">  Inativos e Pensionistas com Recursos Vinculados</t>
  </si>
  <si>
    <t xml:space="preserve">  Agentes Comunitários de Saúde e de Combate às Endemias com Recursos Vinculados (CF, art.198, § 11)</t>
  </si>
  <si>
    <t>Parcela dedutível referente ao piso salarial do Enfermeiro, Técnico de Enfermagem, Auxiliar de Enfermagem e Parteira (ADCT, art. 38, §2º) ¹</t>
  </si>
  <si>
    <t xml:space="preserve">  Outras Deduções Constitucionais ou Legais</t>
  </si>
  <si>
    <t>DESPESA LÍQUIDA COM PESSOAL (III) = (I - II)</t>
  </si>
  <si>
    <t>Set/25</t>
  </si>
  <si>
    <t>Out/25</t>
  </si>
  <si>
    <t>Nov/25</t>
  </si>
  <si>
    <t>Dez/25</t>
  </si>
  <si>
    <t>Últimos
12 Meses
(a)</t>
  </si>
  <si>
    <t>Inscritas em Restos a Pagar Não Processados
(b)</t>
  </si>
  <si>
    <t>Despesa
Executada
(a + b)</t>
  </si>
  <si>
    <t xml:space="preserve">      Obrigações Patronais</t>
  </si>
  <si>
    <t>APURAÇÃO DO CUMPRIMENTO DO LIMITE LEGAL</t>
  </si>
  <si>
    <t>Valor</t>
  </si>
  <si>
    <t>% SOBRE</t>
  </si>
  <si>
    <t>A RCL</t>
  </si>
  <si>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</si>
  <si>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</si>
  <si>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</si>
  <si>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</si>
  <si>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</si>
  <si>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</si>
  <si>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</si>
  <si>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</si>
  <si>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</si>
  <si>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</si>
  <si>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Armazém de Informações do Siafi/MG, SEF/STE/SCCG/DCICF. Emissão 16/jan/26 às 10:48:20</t>
  </si>
  <si>
    <t>Nota: (1) O valor registrado na linha corresponde, para o exercício de 2025, até o mês de Agosto, a 80% da execução da despesa com o cumprimento do piso salarial da enfermagem, e entre os meses de Setembro a Dezembro a 81% da execução da despesa, de acordo com a Portaria STN/MF nº 2.057, de 15 de Setembro de 2025, para o cumprimento dos parágrafos 12,13,14 e 15 do artigo 198 da Constituição Federal, conforme prerrogativa do parágrafo 2º do artigo 38-ADCT-CF/1988.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</si>
</sst>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0"/>
      <color rgb="FF000000"/>
      <name val="Arial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b/>
      <sz val="12"/>
      <color rgb="FF333333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DDDDD"/>
      </top>
      <bottom/>
      <diagonal/>
    </border>
    <border>
      <left style="thin">
        <color auto="1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1" applyNumberFormat="1" applyFont="1" applyFill="1" applyAlignment="1">
      <alignment horizontal="right" vertical="center" wrapText="1"/>
    </xf>
    <xf numFmtId="43" fontId="1" fillId="2" borderId="0" xfId="1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164" fontId="5" fillId="3" borderId="3" xfId="1" applyNumberFormat="1" applyFont="1" applyFill="1" applyBorder="1" applyAlignment="1">
      <alignment horizontal="right" vertical="center" wrapText="1"/>
    </xf>
    <xf numFmtId="164" fontId="5" fillId="3" borderId="4" xfId="1" applyNumberFormat="1" applyFont="1" applyFill="1" applyBorder="1" applyAlignment="1">
      <alignment horizontal="right" vertical="center" wrapText="1"/>
    </xf>
    <xf numFmtId="43" fontId="1" fillId="2" borderId="0" xfId="0" applyNumberFormat="1" applyFont="1" applyFill="1" applyAlignment="1">
      <alignment vertical="center" wrapText="1"/>
    </xf>
    <xf numFmtId="49" fontId="6" fillId="3" borderId="6" xfId="0" applyNumberFormat="1" applyFont="1" applyFill="1" applyBorder="1" applyAlignment="1">
      <alignment horizontal="left" vertical="center" wrapText="1"/>
    </xf>
    <xf numFmtId="164" fontId="6" fillId="3" borderId="7" xfId="1" applyNumberFormat="1" applyFont="1" applyFill="1" applyBorder="1" applyAlignment="1">
      <alignment horizontal="right" vertical="center" wrapText="1"/>
    </xf>
    <xf numFmtId="164" fontId="6" fillId="3" borderId="8" xfId="1" applyNumberFormat="1" applyFont="1" applyFill="1" applyBorder="1" applyAlignment="1">
      <alignment horizontal="right" vertical="center" wrapText="1"/>
    </xf>
    <xf numFmtId="49" fontId="6" fillId="3" borderId="0" xfId="0" applyNumberFormat="1" applyFont="1" applyFill="1" applyAlignment="1">
      <alignment horizontal="left" vertical="center" wrapText="1"/>
    </xf>
    <xf numFmtId="164" fontId="6" fillId="3" borderId="0" xfId="0" applyNumberFormat="1" applyFont="1" applyFill="1" applyAlignment="1">
      <alignment horizontal="left" vertical="center" wrapText="1"/>
    </xf>
    <xf numFmtId="49" fontId="5" fillId="3" borderId="9" xfId="0" applyNumberFormat="1" applyFont="1" applyFill="1" applyBorder="1" applyAlignment="1">
      <alignment horizontal="left" vertical="center" wrapText="1"/>
    </xf>
    <xf numFmtId="164" fontId="5" fillId="3" borderId="10" xfId="1" applyNumberFormat="1" applyFont="1" applyFill="1" applyBorder="1" applyAlignment="1">
      <alignment horizontal="right" vertical="center" wrapText="1"/>
    </xf>
    <xf numFmtId="164" fontId="5" fillId="3" borderId="11" xfId="1" applyNumberFormat="1" applyFont="1" applyFill="1" applyBorder="1" applyAlignment="1">
      <alignment horizontal="right" vertical="center" wrapText="1"/>
    </xf>
    <xf numFmtId="164" fontId="6" fillId="3" borderId="12" xfId="1" applyNumberFormat="1" applyFont="1" applyFill="1" applyBorder="1" applyAlignment="1">
      <alignment horizontal="right" vertical="center" wrapText="1"/>
    </xf>
    <xf numFmtId="164" fontId="6" fillId="3" borderId="13" xfId="1" applyNumberFormat="1" applyFont="1" applyFill="1" applyBorder="1" applyAlignment="1">
      <alignment horizontal="right" vertical="center" wrapText="1"/>
    </xf>
    <xf numFmtId="164" fontId="6" fillId="3" borderId="7" xfId="1" applyNumberFormat="1" applyFont="1" applyFill="1" applyBorder="1" applyAlignment="1">
      <alignment horizontal="left" vertical="center" wrapText="1"/>
    </xf>
    <xf numFmtId="164" fontId="6" fillId="3" borderId="8" xfId="1" applyNumberFormat="1" applyFont="1" applyFill="1" applyBorder="1" applyAlignment="1">
      <alignment horizontal="left" vertical="center" wrapText="1"/>
    </xf>
    <xf numFmtId="164" fontId="6" fillId="3" borderId="14" xfId="1" applyNumberFormat="1" applyFont="1" applyFill="1" applyBorder="1" applyAlignment="1">
      <alignment horizontal="left" vertical="center" wrapText="1"/>
    </xf>
    <xf numFmtId="164" fontId="6" fillId="3" borderId="15" xfId="1" applyNumberFormat="1" applyFont="1" applyFill="1" applyBorder="1" applyAlignment="1">
      <alignment horizontal="left" vertical="center" wrapText="1"/>
    </xf>
    <xf numFmtId="164" fontId="6" fillId="3" borderId="14" xfId="1" applyNumberFormat="1" applyFont="1" applyFill="1" applyBorder="1" applyAlignment="1">
      <alignment horizontal="right" vertical="center" wrapText="1"/>
    </xf>
    <xf numFmtId="164" fontId="6" fillId="3" borderId="15" xfId="1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164" fontId="5" fillId="3" borderId="3" xfId="1" applyNumberFormat="1" applyFont="1" applyFill="1" applyBorder="1" applyAlignment="1">
      <alignment horizontal="left" vertical="center" wrapText="1"/>
    </xf>
    <xf numFmtId="164" fontId="5" fillId="3" borderId="4" xfId="1" applyNumberFormat="1" applyFont="1" applyFill="1" applyBorder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wrapText="1"/>
    </xf>
    <xf numFmtId="164" fontId="5" fillId="3" borderId="0" xfId="1" applyNumberFormat="1" applyFont="1" applyFill="1" applyBorder="1" applyAlignment="1">
      <alignment horizontal="left" vertical="center" wrapText="1"/>
    </xf>
    <xf numFmtId="164" fontId="7" fillId="3" borderId="0" xfId="1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43" fontId="5" fillId="3" borderId="3" xfId="1" applyFont="1" applyFill="1" applyBorder="1" applyAlignment="1">
      <alignment horizontal="center" vertical="center" wrapText="1"/>
    </xf>
    <xf numFmtId="43" fontId="5" fillId="3" borderId="4" xfId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16" xfId="0" applyNumberFormat="1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center" wrapText="1"/>
    </xf>
    <xf numFmtId="49" fontId="6" fillId="3" borderId="17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19" xfId="0" applyNumberFormat="1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164" fontId="7" fillId="3" borderId="4" xfId="1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center" vertical="center" wrapText="1"/>
    </xf>
    <xf numFmtId="164" fontId="9" fillId="2" borderId="16" xfId="1" applyNumberFormat="1" applyFont="1" applyFill="1" applyBorder="1" applyAlignment="1">
      <alignment horizontal="center" vertical="center" wrapText="1"/>
    </xf>
    <xf numFmtId="164" fontId="10" fillId="2" borderId="4" xfId="1" applyNumberFormat="1" applyFont="1" applyFill="1" applyBorder="1" applyAlignment="1">
      <alignment horizontal="right" vertical="center" wrapText="1"/>
    </xf>
    <xf numFmtId="164" fontId="9" fillId="2" borderId="4" xfId="1" applyNumberFormat="1" applyFont="1" applyFill="1" applyBorder="1" applyAlignment="1">
      <alignment horizontal="right" vertical="center" wrapText="1"/>
    </xf>
    <xf numFmtId="164" fontId="9" fillId="2" borderId="16" xfId="1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43" fontId="11" fillId="2" borderId="4" xfId="1" applyFont="1" applyFill="1" applyBorder="1" applyAlignment="1">
      <alignment horizontal="right" vertical="center" wrapText="1"/>
    </xf>
    <xf numFmtId="164" fontId="11" fillId="2" borderId="16" xfId="1" applyNumberFormat="1" applyFont="1" applyFill="1" applyBorder="1" applyAlignment="1">
      <alignment horizontal="right" vertical="center" wrapText="1"/>
    </xf>
    <xf numFmtId="164" fontId="11" fillId="2" borderId="4" xfId="1" applyNumberFormat="1" applyFont="1" applyFill="1" applyBorder="1" applyAlignment="1">
      <alignment horizontal="right" vertical="center" wrapText="1"/>
    </xf>
    <xf numFmtId="164" fontId="11" fillId="2" borderId="4" xfId="1" applyNumberFormat="1" applyFont="1" applyFill="1" applyBorder="1" applyAlignment="1">
      <alignment horizontal="right" vertical="center" wrapText="1"/>
    </xf>
    <xf numFmtId="164" fontId="9" fillId="2" borderId="4" xfId="1" applyNumberFormat="1" applyFont="1" applyFill="1" applyBorder="1" applyAlignment="1">
      <alignment horizontal="right" vertical="center" wrapText="1"/>
    </xf>
    <xf numFmtId="164" fontId="9" fillId="2" borderId="16" xfId="1" applyNumberFormat="1" applyFont="1" applyFill="1" applyBorder="1" applyAlignment="1">
      <alignment horizontal="right" vertical="center" wrapText="1"/>
    </xf>
    <xf numFmtId="0" fontId="9" fillId="2" borderId="18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93132</xdr:colOff>
      <xdr:row>0</xdr:row>
      <xdr:rowOff>59268</xdr:rowOff>
    </xdr:from>
    <xdr:to>
      <xdr:col>1</xdr:col>
      <xdr:colOff>1295400</xdr:colOff>
      <xdr:row>6</xdr:row>
      <xdr:rowOff>9526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14635F20-85EC-4538-84F1-358752D1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131232" y="59268"/>
          <a:ext cx="1202268" cy="109325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DCAIC\2025\LRF\RGF\3&#186;%20quadrimestre\Conferidos\Anexo%201%20-%20Despesa%20com%20Pessoal%20-%203&#186;%20quadrimestre%202025.xlsx" TargetMode="External"/><Relationship Id="rId1" Type="http://schemas.openxmlformats.org/officeDocument/2006/relationships/externalLinkPath" Target="file:///Y:\DCAIC\2025\LRF\RGF\3&#186;%20quadrimestre\Conferidos\Anexo%201%20-%20Despesa%20com%20Pessoal%20-%203&#186;%20quadrimest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CAIC\2025\LRF\RREO\6&#186;%20Bimestre\Conferidos\Anexo_3_RCL_&#218;ltimos_12_meses_previs&#227;o_2025_AT&#201;_DEZEMBRO_VERS&#195;O_15012026_RZ.xlsx" TargetMode="External"/><Relationship Id="rId1" Type="http://schemas.openxmlformats.org/officeDocument/2006/relationships/externalLinkPath" Target="file:///Y:\DCAIC\2025\LRF\RREO\6&#186;%20Bimestre\Conferidos\Anexo_3_RCL_&#218;ltimos_12_meses_previs&#227;o_2025_AT&#201;_DEZEMBRO_VERS&#195;O_15012026_R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blicação"/>
      <sheetName val="Pessoal_3ºQuadrimestre"/>
      <sheetName val="Query_Total"/>
      <sheetName val="Grupo_1"/>
      <sheetName val="Grupo_1_UO"/>
      <sheetName val="Grupo_3"/>
      <sheetName val="Despesa_apropriar_CContábil"/>
    </sheetNames>
    <sheetDataSet>
      <sheetData sheetId="0"/>
      <sheetData sheetId="1">
        <row r="13">
          <cell r="D13">
            <v>1722535.7900010105</v>
          </cell>
        </row>
        <row r="27">
          <cell r="D27">
            <v>115276.14999961853</v>
          </cell>
        </row>
        <row r="62">
          <cell r="D62">
            <v>10017.440001010895</v>
          </cell>
        </row>
      </sheetData>
      <sheetData sheetId="2">
        <row r="13">
          <cell r="K13">
            <v>1957924072.95</v>
          </cell>
          <cell r="L13">
            <v>2126911147.21</v>
          </cell>
          <cell r="M13">
            <v>2594771895.3499999</v>
          </cell>
          <cell r="N13">
            <v>3795852684.7600002</v>
          </cell>
        </row>
        <row r="29">
          <cell r="K29">
            <v>669574256.61000097</v>
          </cell>
          <cell r="L29">
            <v>811727928.42000103</v>
          </cell>
          <cell r="M29">
            <v>927850655.75</v>
          </cell>
          <cell r="N29">
            <v>1429886455.74</v>
          </cell>
        </row>
        <row r="39">
          <cell r="K39">
            <v>1909319063.6500001</v>
          </cell>
          <cell r="L39">
            <v>1892548027.73</v>
          </cell>
          <cell r="M39">
            <v>2568993743.73</v>
          </cell>
          <cell r="N39">
            <v>3034713783.1799998</v>
          </cell>
        </row>
        <row r="43">
          <cell r="K43">
            <v>405422540.48000002</v>
          </cell>
          <cell r="L43">
            <v>396854653.42000002</v>
          </cell>
          <cell r="M43">
            <v>387857753.36000001</v>
          </cell>
          <cell r="N43">
            <v>757076509.19000006</v>
          </cell>
        </row>
        <row r="58">
          <cell r="K58">
            <v>203091901.44</v>
          </cell>
          <cell r="L58">
            <v>-182049373.91</v>
          </cell>
          <cell r="M58">
            <v>-52552996.479999997</v>
          </cell>
          <cell r="N58">
            <v>-17509337.940000001</v>
          </cell>
        </row>
        <row r="62">
          <cell r="K62">
            <v>3142882.04</v>
          </cell>
          <cell r="L62">
            <v>3366325.01</v>
          </cell>
          <cell r="M62">
            <v>3785554.62</v>
          </cell>
          <cell r="N62">
            <v>1140691.83</v>
          </cell>
        </row>
        <row r="65">
          <cell r="K65">
            <v>-3088525.3199999901</v>
          </cell>
          <cell r="L65">
            <v>35957642.149999999</v>
          </cell>
          <cell r="M65">
            <v>140925785.08000001</v>
          </cell>
          <cell r="N65">
            <v>302213228.23000002</v>
          </cell>
        </row>
        <row r="74">
          <cell r="K74">
            <v>5119046.55</v>
          </cell>
          <cell r="L74">
            <v>4085395.58</v>
          </cell>
          <cell r="M74">
            <v>14646485.470000001</v>
          </cell>
          <cell r="N74">
            <v>14854856.460000001</v>
          </cell>
        </row>
        <row r="80">
          <cell r="K80">
            <v>790834769.98000002</v>
          </cell>
          <cell r="L80">
            <v>888983305.42999995</v>
          </cell>
          <cell r="M80">
            <v>798717481.44000006</v>
          </cell>
          <cell r="N80">
            <v>1755018355.47</v>
          </cell>
        </row>
        <row r="94">
          <cell r="K94">
            <v>2402203.4</v>
          </cell>
          <cell r="L94">
            <v>2324597.75</v>
          </cell>
          <cell r="M94">
            <v>2260710.5699999998</v>
          </cell>
          <cell r="N94">
            <v>2223410.89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blicação"/>
      <sheetName val="Memória"/>
      <sheetName val="RCL_2025_Contabilizado"/>
      <sheetName val="Resumo_RCL"/>
      <sheetName val="Emendas_Parlamentares"/>
      <sheetName val="Dedução_Receita_Patrimonial"/>
      <sheetName val="Receita Total"/>
      <sheetName val="Fonte_ Recursos"/>
      <sheetName val="LOA_2025"/>
      <sheetName val="Contábil"/>
    </sheetNames>
    <sheetDataSet>
      <sheetData sheetId="0">
        <row r="73">
          <cell r="H73">
            <v>111739462561.63</v>
          </cell>
        </row>
        <row r="74">
          <cell r="H74">
            <v>11163115.01</v>
          </cell>
        </row>
        <row r="76">
          <cell r="H76">
            <v>5554676.6799999997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9F6A-6C43-4393-937F-2178616FC9A0}">
  <dimension ref="B2:U67"/>
  <sheetViews>
    <sheetView tabSelected="1" topLeftCell="A42" zoomScale="80" zoomScaleNormal="80" workbookViewId="0">
      <selection activeCell="B62" sqref="B62:J62"/>
    </sheetView>
  </sheetViews>
  <sheetFormatPr defaultColWidth="9" defaultRowHeight="15" x14ac:dyDescent="0.2"/>
  <cols>
    <col min="1" max="1" width="0.5703125" style="4" customWidth="1"/>
    <col min="2" max="2" width="74.5703125" style="4" customWidth="1"/>
    <col min="3" max="3" width="20.5703125" style="4" customWidth="1"/>
    <col min="4" max="4" width="18.42578125" style="4" bestFit="1" customWidth="1"/>
    <col min="5" max="6" width="17.7109375" style="4" bestFit="1" customWidth="1"/>
    <col min="7" max="7" width="18.42578125" style="53" bestFit="1" customWidth="1"/>
    <col min="8" max="8" width="18.7109375" style="53" bestFit="1" customWidth="1"/>
    <col min="9" max="9" width="20" style="4" customWidth="1"/>
    <col min="10" max="10" width="20.5703125" style="4" customWidth="1"/>
    <col min="11" max="11" width="18.42578125" style="2" bestFit="1" customWidth="1"/>
    <col min="12" max="12" width="19.5703125" style="2" bestFit="1" customWidth="1"/>
    <col min="13" max="14" width="18.42578125" style="2" bestFit="1" customWidth="1"/>
    <col min="15" max="15" width="19.5703125" style="3" bestFit="1" customWidth="1"/>
    <col min="16" max="16" width="23.140625" style="4" customWidth="1"/>
    <col min="17" max="17" width="21" style="4" bestFit="1" customWidth="1"/>
    <col min="18" max="18" width="16.85546875" style="4" customWidth="1"/>
    <col min="19" max="19" width="18.7109375" style="4" bestFit="1" customWidth="1"/>
    <col min="20" max="20" width="8.28515625" style="4" customWidth="1"/>
    <col min="21" max="16384" width="9" style="4"/>
  </cols>
  <sheetData>
    <row r="2" spans="2:21" x14ac:dyDescent="0.2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21" x14ac:dyDescent="0.2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21" x14ac:dyDescent="0.2">
      <c r="B4" s="5" t="s">
        <v>2</v>
      </c>
      <c r="C4" s="5"/>
      <c r="D4" s="5"/>
      <c r="E4" s="5"/>
      <c r="F4" s="5"/>
      <c r="G4" s="5"/>
      <c r="H4" s="5"/>
      <c r="I4" s="5"/>
      <c r="J4" s="5"/>
    </row>
    <row r="5" spans="2:21" x14ac:dyDescent="0.2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21" x14ac:dyDescent="0.2">
      <c r="B6" s="1" t="s">
        <v>4</v>
      </c>
      <c r="C6" s="1"/>
      <c r="D6" s="1"/>
      <c r="E6" s="1"/>
      <c r="F6" s="1"/>
      <c r="G6" s="1"/>
      <c r="H6" s="1"/>
      <c r="I6" s="1"/>
      <c r="J6" s="1"/>
    </row>
    <row r="8" spans="2:21" x14ac:dyDescent="0.25">
      <c r="B8" s="6" t="s">
        <v>5</v>
      </c>
      <c r="C8" s="6"/>
      <c r="G8" s="7"/>
      <c r="H8" s="7"/>
      <c r="J8" s="8" t="s">
        <v>6</v>
      </c>
      <c r="K8" s="4"/>
      <c r="L8" s="4"/>
      <c r="M8" s="4"/>
      <c r="N8" s="4"/>
      <c r="O8" s="4"/>
    </row>
    <row r="9" spans="2:21" s="12" customFormat="1" ht="44.45" customHeight="1" x14ac:dyDescent="0.2">
      <c r="B9" s="9" t="s">
        <v>7</v>
      </c>
      <c r="C9" s="10" t="s">
        <v>8</v>
      </c>
      <c r="D9" s="10" t="s">
        <v>9</v>
      </c>
      <c r="E9" s="10" t="s">
        <v>10</v>
      </c>
      <c r="F9" s="11" t="s">
        <v>11</v>
      </c>
      <c r="G9" s="10" t="s">
        <v>12</v>
      </c>
      <c r="H9" s="10" t="s">
        <v>13</v>
      </c>
      <c r="I9" s="10" t="s">
        <v>14</v>
      </c>
      <c r="J9" s="11" t="s">
        <v>15</v>
      </c>
      <c r="R9" s="4"/>
      <c r="S9" s="4"/>
      <c r="T9" s="4"/>
      <c r="U9" s="4"/>
    </row>
    <row r="10" spans="2:21" s="12" customFormat="1" x14ac:dyDescent="0.2">
      <c r="B10" s="13" t="s">
        <v>16</v>
      </c>
      <c r="C10" s="14">
        <f t="shared" ref="C10:F10" si="0">C11+C14+C17+C18</f>
        <v>5142335256.0799999</v>
      </c>
      <c r="D10" s="14">
        <f t="shared" si="0"/>
        <v>4691575185.7299995</v>
      </c>
      <c r="E10" s="14">
        <f t="shared" si="0"/>
        <v>4883599518.96</v>
      </c>
      <c r="F10" s="15">
        <f t="shared" si="0"/>
        <v>4984015573.8199997</v>
      </c>
      <c r="G10" s="14">
        <v>5007946385.5699997</v>
      </c>
      <c r="H10" s="14">
        <v>4993844224.0299997</v>
      </c>
      <c r="I10" s="14">
        <v>5138995524.54</v>
      </c>
      <c r="J10" s="15">
        <v>5030147335.2799997</v>
      </c>
      <c r="R10" s="4"/>
      <c r="S10" s="16">
        <f t="shared" ref="S10:S27" si="1">SUM(C10:I10)+D30+E30+F30+G30-H30</f>
        <v>-5030147335.2800064</v>
      </c>
      <c r="T10" s="16">
        <f t="shared" ref="T10:T27" si="2">H30+I30-J30</f>
        <v>0</v>
      </c>
      <c r="U10" s="4"/>
    </row>
    <row r="11" spans="2:21" s="12" customFormat="1" x14ac:dyDescent="0.2">
      <c r="B11" s="17" t="s">
        <v>17</v>
      </c>
      <c r="C11" s="18">
        <v>3642206257.1700001</v>
      </c>
      <c r="D11" s="18">
        <f>D12+D13</f>
        <v>1788515623.5999999</v>
      </c>
      <c r="E11" s="18">
        <f>E12+E13</f>
        <v>2683969371.98</v>
      </c>
      <c r="F11" s="19">
        <f>F12+F13</f>
        <v>2734803206.9099998</v>
      </c>
      <c r="G11" s="18">
        <v>2785761470.8600001</v>
      </c>
      <c r="H11" s="18">
        <v>2699283276.8299999</v>
      </c>
      <c r="I11" s="18">
        <v>2870246303.8600001</v>
      </c>
      <c r="J11" s="19">
        <v>2687450206.2600002</v>
      </c>
      <c r="R11" s="4"/>
      <c r="S11" s="16">
        <f t="shared" si="1"/>
        <v>-2687450206.2600021</v>
      </c>
      <c r="T11" s="16">
        <f t="shared" si="2"/>
        <v>0</v>
      </c>
      <c r="U11" s="4"/>
    </row>
    <row r="12" spans="2:21" s="12" customFormat="1" x14ac:dyDescent="0.2">
      <c r="B12" s="20" t="s">
        <v>18</v>
      </c>
      <c r="C12" s="18">
        <v>2741199221.4699998</v>
      </c>
      <c r="D12" s="18">
        <v>1286898239.53</v>
      </c>
      <c r="E12" s="18">
        <v>1975101647.3199999</v>
      </c>
      <c r="F12" s="19">
        <v>2020654399.1099999</v>
      </c>
      <c r="G12" s="18">
        <v>2012715998.98</v>
      </c>
      <c r="H12" s="18">
        <v>1997063186.3599999</v>
      </c>
      <c r="I12" s="18">
        <v>2126665619.04</v>
      </c>
      <c r="J12" s="19">
        <v>2012176785.1900001</v>
      </c>
      <c r="R12" s="4"/>
      <c r="S12" s="16">
        <f t="shared" si="1"/>
        <v>-2012176785.1899948</v>
      </c>
      <c r="T12" s="16">
        <f t="shared" si="2"/>
        <v>0</v>
      </c>
      <c r="U12" s="4"/>
    </row>
    <row r="13" spans="2:21" s="12" customFormat="1" x14ac:dyDescent="0.2">
      <c r="B13" s="20" t="s">
        <v>19</v>
      </c>
      <c r="C13" s="18">
        <v>901007035.70000005</v>
      </c>
      <c r="D13" s="18">
        <v>501617384.06999999</v>
      </c>
      <c r="E13" s="18">
        <v>708867724.65999997</v>
      </c>
      <c r="F13" s="19">
        <v>714148807.79999995</v>
      </c>
      <c r="G13" s="18">
        <v>773045471.88</v>
      </c>
      <c r="H13" s="18">
        <v>702220090.47000098</v>
      </c>
      <c r="I13" s="18">
        <v>743580684.82000101</v>
      </c>
      <c r="J13" s="19">
        <v>675273421.07000005</v>
      </c>
      <c r="R13" s="4"/>
      <c r="S13" s="16">
        <f t="shared" si="1"/>
        <v>-675273421.06999969</v>
      </c>
      <c r="T13" s="16">
        <f t="shared" si="2"/>
        <v>0</v>
      </c>
      <c r="U13" s="4"/>
    </row>
    <row r="14" spans="2:21" s="12" customFormat="1" x14ac:dyDescent="0.2">
      <c r="B14" s="20" t="s">
        <v>20</v>
      </c>
      <c r="C14" s="18">
        <f>SUM(C15:C16)</f>
        <v>1500128998.9100001</v>
      </c>
      <c r="D14" s="18">
        <f>SUM(D15:D16)</f>
        <v>2903059562.1300001</v>
      </c>
      <c r="E14" s="18">
        <f>SUM(E15:E16)</f>
        <v>2199607117.0099998</v>
      </c>
      <c r="F14" s="19">
        <f>SUM(F15:F16)</f>
        <v>2214173004.7399998</v>
      </c>
      <c r="G14" s="18">
        <v>2206563488.9899998</v>
      </c>
      <c r="H14" s="18">
        <v>2314318026.0900002</v>
      </c>
      <c r="I14" s="18">
        <v>2289008621.1399999</v>
      </c>
      <c r="J14" s="19">
        <v>2304344660.6399999</v>
      </c>
      <c r="R14" s="4"/>
      <c r="S14" s="16">
        <f t="shared" si="1"/>
        <v>-2304344660.6399994</v>
      </c>
      <c r="T14" s="16">
        <f t="shared" si="2"/>
        <v>0</v>
      </c>
      <c r="U14" s="4"/>
    </row>
    <row r="15" spans="2:21" s="12" customFormat="1" x14ac:dyDescent="0.2">
      <c r="B15" s="20" t="s">
        <v>21</v>
      </c>
      <c r="C15" s="18">
        <v>1126028840.8900001</v>
      </c>
      <c r="D15" s="18">
        <v>2503160519.54</v>
      </c>
      <c r="E15" s="18">
        <v>1815648950.8</v>
      </c>
      <c r="F15" s="19">
        <v>1826788057.02</v>
      </c>
      <c r="G15" s="18">
        <v>1822646671.9400001</v>
      </c>
      <c r="H15" s="18">
        <v>1930226795.55</v>
      </c>
      <c r="I15" s="18">
        <v>1899577514.28</v>
      </c>
      <c r="J15" s="19">
        <v>1907276520.5899999</v>
      </c>
      <c r="R15" s="4"/>
      <c r="S15" s="16">
        <f t="shared" si="1"/>
        <v>-1907276520.5900002</v>
      </c>
      <c r="T15" s="16">
        <f t="shared" si="2"/>
        <v>0</v>
      </c>
      <c r="U15" s="4"/>
    </row>
    <row r="16" spans="2:21" s="12" customFormat="1" x14ac:dyDescent="0.2">
      <c r="B16" s="20" t="s">
        <v>22</v>
      </c>
      <c r="C16" s="18">
        <v>374100158.01999998</v>
      </c>
      <c r="D16" s="18">
        <v>399899042.58999997</v>
      </c>
      <c r="E16" s="18">
        <v>383958166.20999998</v>
      </c>
      <c r="F16" s="19">
        <v>387384947.72000003</v>
      </c>
      <c r="G16" s="18">
        <v>383916817.05000001</v>
      </c>
      <c r="H16" s="18">
        <v>384091230.54000002</v>
      </c>
      <c r="I16" s="18">
        <v>389431106.86000001</v>
      </c>
      <c r="J16" s="19">
        <v>397068140.05000001</v>
      </c>
      <c r="R16" s="4"/>
      <c r="S16" s="16">
        <f t="shared" si="1"/>
        <v>-397068140.05000019</v>
      </c>
      <c r="T16" s="16">
        <f t="shared" si="2"/>
        <v>0</v>
      </c>
      <c r="U16" s="4"/>
    </row>
    <row r="17" spans="2:21" s="12" customFormat="1" ht="30" x14ac:dyDescent="0.2">
      <c r="B17" s="20" t="s">
        <v>23</v>
      </c>
      <c r="C17" s="18">
        <v>0</v>
      </c>
      <c r="D17" s="18">
        <v>0</v>
      </c>
      <c r="E17" s="18"/>
      <c r="F17" s="19">
        <v>0</v>
      </c>
      <c r="G17" s="18"/>
      <c r="H17" s="18"/>
      <c r="I17" s="18"/>
      <c r="J17" s="19"/>
      <c r="R17" s="4"/>
      <c r="S17" s="16">
        <f t="shared" si="1"/>
        <v>0</v>
      </c>
      <c r="T17" s="16">
        <f t="shared" si="2"/>
        <v>0</v>
      </c>
      <c r="U17" s="4"/>
    </row>
    <row r="18" spans="2:21" s="12" customFormat="1" x14ac:dyDescent="0.2">
      <c r="B18" s="20" t="s">
        <v>24</v>
      </c>
      <c r="C18" s="18">
        <v>0</v>
      </c>
      <c r="D18" s="18">
        <v>0</v>
      </c>
      <c r="E18" s="18">
        <v>23029.97</v>
      </c>
      <c r="F18" s="19">
        <v>35039362.170000002</v>
      </c>
      <c r="G18" s="18">
        <v>15621425.720000001</v>
      </c>
      <c r="H18" s="18">
        <v>-19757078.890000001</v>
      </c>
      <c r="I18" s="18">
        <v>-20259400.460000001</v>
      </c>
      <c r="J18" s="19">
        <v>38352468.380000003</v>
      </c>
      <c r="K18" s="21"/>
      <c r="R18" s="4"/>
      <c r="S18" s="16">
        <f t="shared" si="1"/>
        <v>-38352468.38000001</v>
      </c>
      <c r="T18" s="16">
        <f t="shared" si="2"/>
        <v>0</v>
      </c>
      <c r="U18" s="4"/>
    </row>
    <row r="19" spans="2:21" s="12" customFormat="1" ht="30" customHeight="1" x14ac:dyDescent="0.2">
      <c r="B19" s="22" t="s">
        <v>25</v>
      </c>
      <c r="C19" s="23">
        <f>SUM(C20:C26)</f>
        <v>679520374.50599992</v>
      </c>
      <c r="D19" s="23">
        <f>SUM(D20:D26)</f>
        <v>1002600580.074</v>
      </c>
      <c r="E19" s="23">
        <f>SUM(E20:E26)</f>
        <v>807372078.06400001</v>
      </c>
      <c r="F19" s="24">
        <f>SUM(F20:F26)</f>
        <v>856657898.13799989</v>
      </c>
      <c r="G19" s="23">
        <v>878178042.57000005</v>
      </c>
      <c r="H19" s="23">
        <v>886877021.58399999</v>
      </c>
      <c r="I19" s="23">
        <v>873857873.36399996</v>
      </c>
      <c r="J19" s="24">
        <v>869406376.99199998</v>
      </c>
      <c r="R19" s="4"/>
      <c r="S19" s="16">
        <f t="shared" si="1"/>
        <v>-869406376.99199867</v>
      </c>
      <c r="T19" s="16">
        <f t="shared" si="2"/>
        <v>0</v>
      </c>
      <c r="U19" s="4"/>
    </row>
    <row r="20" spans="2:21" s="12" customFormat="1" x14ac:dyDescent="0.2">
      <c r="B20" s="20" t="s">
        <v>26</v>
      </c>
      <c r="C20" s="25">
        <v>1984726.19</v>
      </c>
      <c r="D20" s="25">
        <v>2244912.1800000002</v>
      </c>
      <c r="E20" s="25">
        <v>2122054.02</v>
      </c>
      <c r="F20" s="26">
        <v>1553277.45</v>
      </c>
      <c r="G20" s="25">
        <v>1368792.06</v>
      </c>
      <c r="H20" s="25">
        <v>2451823.11</v>
      </c>
      <c r="I20" s="25">
        <v>2391006.84</v>
      </c>
      <c r="J20" s="26">
        <v>482313.95</v>
      </c>
      <c r="R20" s="4"/>
      <c r="S20" s="16">
        <f t="shared" si="1"/>
        <v>-482313.95000000298</v>
      </c>
      <c r="T20" s="16">
        <f t="shared" si="2"/>
        <v>0</v>
      </c>
      <c r="U20" s="4"/>
    </row>
    <row r="21" spans="2:21" s="12" customFormat="1" x14ac:dyDescent="0.2">
      <c r="B21" s="20" t="s">
        <v>27</v>
      </c>
      <c r="C21" s="18">
        <v>5135554.28</v>
      </c>
      <c r="D21" s="18">
        <v>48028278.670000002</v>
      </c>
      <c r="E21" s="18">
        <v>53015036.189999998</v>
      </c>
      <c r="F21" s="19">
        <v>31679698.489999998</v>
      </c>
      <c r="G21" s="18">
        <v>24434206.57</v>
      </c>
      <c r="H21" s="18">
        <v>57125609.030000001</v>
      </c>
      <c r="I21" s="18">
        <v>16034527.32</v>
      </c>
      <c r="J21" s="19">
        <v>6576529.6999999899</v>
      </c>
      <c r="R21" s="4"/>
      <c r="S21" s="16">
        <f t="shared" si="1"/>
        <v>-6576529.6999999285</v>
      </c>
      <c r="T21" s="16">
        <f t="shared" si="2"/>
        <v>0</v>
      </c>
      <c r="U21" s="4"/>
    </row>
    <row r="22" spans="2:21" s="12" customFormat="1" x14ac:dyDescent="0.2">
      <c r="B22" s="20" t="s">
        <v>28</v>
      </c>
      <c r="C22" s="18">
        <v>18893959.719999999</v>
      </c>
      <c r="D22" s="18">
        <v>9409431.2599999998</v>
      </c>
      <c r="E22" s="18">
        <v>4193813.56</v>
      </c>
      <c r="F22" s="19">
        <v>3493284.48</v>
      </c>
      <c r="G22" s="18">
        <v>9278263.4299999997</v>
      </c>
      <c r="H22" s="18">
        <v>20786745.460000001</v>
      </c>
      <c r="I22" s="18">
        <v>-2585355.5699999998</v>
      </c>
      <c r="J22" s="19">
        <v>11251206.91</v>
      </c>
      <c r="R22" s="4"/>
      <c r="S22" s="16">
        <f t="shared" si="1"/>
        <v>-11251206.909999996</v>
      </c>
      <c r="T22" s="16">
        <f t="shared" si="2"/>
        <v>0</v>
      </c>
      <c r="U22" s="4"/>
    </row>
    <row r="23" spans="2:21" s="12" customFormat="1" x14ac:dyDescent="0.2">
      <c r="B23" s="20" t="s">
        <v>29</v>
      </c>
      <c r="C23" s="18">
        <v>651358951.58000004</v>
      </c>
      <c r="D23" s="18">
        <v>940535228.89999998</v>
      </c>
      <c r="E23" s="18">
        <v>745467089.14999998</v>
      </c>
      <c r="F23" s="19">
        <v>817641788.14999998</v>
      </c>
      <c r="G23" s="18">
        <v>840893745.90999997</v>
      </c>
      <c r="H23" s="18">
        <v>804268379.27999997</v>
      </c>
      <c r="I23" s="18">
        <v>855701130.59000003</v>
      </c>
      <c r="J23" s="19">
        <v>848693371.51999998</v>
      </c>
      <c r="R23" s="4"/>
      <c r="S23" s="16">
        <f t="shared" si="1"/>
        <v>-848693371.51999855</v>
      </c>
      <c r="T23" s="16">
        <f t="shared" si="2"/>
        <v>0</v>
      </c>
      <c r="U23" s="4"/>
    </row>
    <row r="24" spans="2:21" s="12" customFormat="1" ht="30" x14ac:dyDescent="0.2">
      <c r="B24" s="12" t="s">
        <v>30</v>
      </c>
      <c r="C24" s="27">
        <v>0</v>
      </c>
      <c r="D24" s="27">
        <v>0</v>
      </c>
      <c r="E24" s="27">
        <v>0</v>
      </c>
      <c r="F24" s="28">
        <v>0</v>
      </c>
      <c r="G24" s="18"/>
      <c r="H24" s="18"/>
      <c r="I24" s="18"/>
      <c r="J24" s="19"/>
      <c r="R24" s="4"/>
      <c r="S24" s="16">
        <f t="shared" si="1"/>
        <v>0</v>
      </c>
      <c r="T24" s="16">
        <f t="shared" si="2"/>
        <v>0</v>
      </c>
      <c r="U24" s="4"/>
    </row>
    <row r="25" spans="2:21" s="12" customFormat="1" ht="30" x14ac:dyDescent="0.2">
      <c r="B25" s="12" t="s">
        <v>31</v>
      </c>
      <c r="C25" s="27">
        <f>2683978.42*0.8</f>
        <v>2147182.736</v>
      </c>
      <c r="D25" s="27">
        <f>2978411.33*0.8</f>
        <v>2382729.0640000002</v>
      </c>
      <c r="E25" s="27">
        <f>3217606.43*0.8</f>
        <v>2574085.1440000003</v>
      </c>
      <c r="F25" s="28">
        <f>2862311.96*0.8</f>
        <v>2289849.568</v>
      </c>
      <c r="G25" s="18">
        <v>2203034.6</v>
      </c>
      <c r="H25" s="18">
        <v>2244464.7039999999</v>
      </c>
      <c r="I25" s="18">
        <v>2316564.1839999999</v>
      </c>
      <c r="J25" s="19">
        <v>2402954.912</v>
      </c>
      <c r="R25" s="4"/>
      <c r="S25" s="16">
        <f t="shared" si="1"/>
        <v>-2402954.9119999968</v>
      </c>
      <c r="T25" s="16">
        <f t="shared" si="2"/>
        <v>0</v>
      </c>
      <c r="U25" s="4"/>
    </row>
    <row r="26" spans="2:21" s="12" customFormat="1" x14ac:dyDescent="0.2">
      <c r="B26" s="12" t="s">
        <v>32</v>
      </c>
      <c r="C26" s="29">
        <v>0</v>
      </c>
      <c r="D26" s="29">
        <v>0</v>
      </c>
      <c r="E26" s="29"/>
      <c r="F26" s="30">
        <v>0</v>
      </c>
      <c r="G26" s="31"/>
      <c r="H26" s="31"/>
      <c r="I26" s="31"/>
      <c r="J26" s="32"/>
      <c r="R26" s="4"/>
      <c r="S26" s="16">
        <f t="shared" si="1"/>
        <v>0</v>
      </c>
      <c r="T26" s="16">
        <f t="shared" si="2"/>
        <v>0</v>
      </c>
      <c r="U26" s="4"/>
    </row>
    <row r="27" spans="2:21" s="12" customFormat="1" ht="25.5" customHeight="1" x14ac:dyDescent="0.2">
      <c r="B27" s="33" t="s">
        <v>33</v>
      </c>
      <c r="C27" s="34">
        <f>C10-C19</f>
        <v>4462814881.5740004</v>
      </c>
      <c r="D27" s="34">
        <f t="shared" ref="D27:F27" si="3">D10-D19</f>
        <v>3688974605.6559997</v>
      </c>
      <c r="E27" s="34">
        <f t="shared" si="3"/>
        <v>4076227440.8959999</v>
      </c>
      <c r="F27" s="35">
        <f t="shared" si="3"/>
        <v>4127357675.6819997</v>
      </c>
      <c r="G27" s="14">
        <v>4129768343</v>
      </c>
      <c r="H27" s="14">
        <v>4106967202.4460001</v>
      </c>
      <c r="I27" s="14">
        <v>4265137651.1760001</v>
      </c>
      <c r="J27" s="15">
        <v>4160740958.2880001</v>
      </c>
      <c r="R27" s="4"/>
      <c r="S27" s="16">
        <f t="shared" si="1"/>
        <v>-4160740958.2880096</v>
      </c>
      <c r="T27" s="16">
        <f t="shared" si="2"/>
        <v>0</v>
      </c>
      <c r="U27" s="4"/>
    </row>
    <row r="28" spans="2:21" s="12" customFormat="1" ht="25.5" customHeight="1" x14ac:dyDescent="0.25">
      <c r="B28" s="36"/>
      <c r="C28" s="4"/>
      <c r="D28" s="2"/>
      <c r="E28" s="2"/>
      <c r="F28" s="2"/>
      <c r="G28" s="2"/>
      <c r="H28" s="4"/>
      <c r="I28" s="4"/>
      <c r="J28" s="37"/>
      <c r="K28" s="38"/>
      <c r="L28" s="38"/>
      <c r="M28" s="38"/>
      <c r="N28" s="38"/>
      <c r="O28" s="38"/>
      <c r="P28" s="38"/>
      <c r="Q28" s="39"/>
      <c r="R28" s="4"/>
      <c r="S28" s="16"/>
      <c r="T28" s="16"/>
      <c r="U28" s="4"/>
    </row>
    <row r="29" spans="2:21" s="12" customFormat="1" ht="57.6" customHeight="1" x14ac:dyDescent="0.2">
      <c r="B29" s="40" t="s">
        <v>7</v>
      </c>
      <c r="C29" s="41"/>
      <c r="D29" s="10" t="s">
        <v>34</v>
      </c>
      <c r="E29" s="10" t="s">
        <v>35</v>
      </c>
      <c r="F29" s="10" t="s">
        <v>36</v>
      </c>
      <c r="G29" s="10" t="s">
        <v>37</v>
      </c>
      <c r="H29" s="42" t="s">
        <v>38</v>
      </c>
      <c r="I29" s="42" t="s">
        <v>39</v>
      </c>
      <c r="J29" s="43" t="s">
        <v>40</v>
      </c>
      <c r="K29" s="38"/>
      <c r="L29" s="38"/>
      <c r="M29" s="38"/>
      <c r="N29" s="38"/>
      <c r="O29" s="38"/>
      <c r="P29" s="38"/>
      <c r="Q29" s="39"/>
      <c r="R29" s="4"/>
      <c r="S29" s="16"/>
      <c r="T29" s="16"/>
      <c r="U29" s="4"/>
    </row>
    <row r="30" spans="2:21" s="12" customFormat="1" ht="15.75" x14ac:dyDescent="0.2">
      <c r="B30" s="44" t="s">
        <v>16</v>
      </c>
      <c r="C30" s="45"/>
      <c r="D30" s="14">
        <f>D31+D34+D37+D38</f>
        <v>5145331835.1300001</v>
      </c>
      <c r="E30" s="14">
        <f t="shared" ref="E30:J30" si="4">E31+E34+E37+E38</f>
        <v>5045992382.8700008</v>
      </c>
      <c r="F30" s="14">
        <f t="shared" si="4"/>
        <v>6426921051.710001</v>
      </c>
      <c r="G30" s="14">
        <f t="shared" si="4"/>
        <v>9000020094.9299984</v>
      </c>
      <c r="H30" s="14">
        <f t="shared" si="4"/>
        <v>65490724368.650002</v>
      </c>
      <c r="I30" s="14">
        <f t="shared" si="4"/>
        <v>1837811.9400006291</v>
      </c>
      <c r="J30" s="15">
        <f t="shared" si="4"/>
        <v>65492562180.590004</v>
      </c>
      <c r="K30" s="38"/>
      <c r="L30" s="38">
        <f>SUM(C10:J10)+D30+E30+F30+G30-H30</f>
        <v>0</v>
      </c>
      <c r="M30" s="38">
        <f>H30+I30-J30</f>
        <v>0</v>
      </c>
      <c r="N30" s="38"/>
      <c r="O30" s="38"/>
      <c r="P30" s="38"/>
      <c r="Q30" s="39"/>
      <c r="R30" s="4"/>
      <c r="S30" s="16"/>
      <c r="T30" s="16"/>
      <c r="U30" s="4"/>
    </row>
    <row r="31" spans="2:21" s="12" customFormat="1" ht="15.75" x14ac:dyDescent="0.2">
      <c r="B31" s="46" t="s">
        <v>17</v>
      </c>
      <c r="C31" s="47"/>
      <c r="D31" s="18">
        <f>SUM(D32:D33)</f>
        <v>2627498329.5600009</v>
      </c>
      <c r="E31" s="18">
        <f t="shared" ref="E31:I31" si="5">SUM(E32:E33)</f>
        <v>2938639075.6300011</v>
      </c>
      <c r="F31" s="18">
        <f t="shared" si="5"/>
        <v>3522622551.0999999</v>
      </c>
      <c r="G31" s="18">
        <f t="shared" si="5"/>
        <v>5225739140.5</v>
      </c>
      <c r="H31" s="18">
        <f>SUM(C11:J11)+D31+E31+F31+G31</f>
        <v>36206734814.260002</v>
      </c>
      <c r="I31" s="18">
        <f t="shared" si="5"/>
        <v>1837811.9400006291</v>
      </c>
      <c r="J31" s="19">
        <f t="shared" ref="J31:J46" si="6">H31+I31</f>
        <v>36208572626.200005</v>
      </c>
      <c r="K31" s="38"/>
      <c r="L31" s="38">
        <f t="shared" ref="L31:L47" si="7">SUM(C11:J11)+D31+E31+F31+G31-H31</f>
        <v>0</v>
      </c>
      <c r="M31" s="38">
        <f t="shared" ref="M31:M47" si="8">H31+I31-J31</f>
        <v>0</v>
      </c>
      <c r="N31" s="38"/>
      <c r="O31" s="38"/>
      <c r="P31" s="38"/>
      <c r="Q31" s="39"/>
      <c r="R31" s="4"/>
      <c r="S31" s="16"/>
      <c r="T31" s="16"/>
      <c r="U31" s="4"/>
    </row>
    <row r="32" spans="2:21" s="12" customFormat="1" ht="15.75" x14ac:dyDescent="0.2">
      <c r="B32" s="46" t="s">
        <v>18</v>
      </c>
      <c r="C32" s="47"/>
      <c r="D32" s="18">
        <f>[1]Query_Total!K13</f>
        <v>1957924072.95</v>
      </c>
      <c r="E32" s="18">
        <f>[1]Query_Total!L13</f>
        <v>2126911147.21</v>
      </c>
      <c r="F32" s="18">
        <f>[1]Query_Total!M13</f>
        <v>2594771895.3499999</v>
      </c>
      <c r="G32" s="18">
        <f>[1]Query_Total!N13</f>
        <v>3795852684.7600002</v>
      </c>
      <c r="H32" s="18">
        <f t="shared" ref="H32:H46" si="9">SUM(C12:J12)+D32+E32+F32+G32</f>
        <v>26647934897.269997</v>
      </c>
      <c r="I32" s="18">
        <f>[1]Pessoal_3ºQuadrimestre!D13</f>
        <v>1722535.7900010105</v>
      </c>
      <c r="J32" s="19">
        <f t="shared" si="6"/>
        <v>26649657433.059998</v>
      </c>
      <c r="K32" s="38"/>
      <c r="L32" s="38">
        <f t="shared" si="7"/>
        <v>0</v>
      </c>
      <c r="M32" s="38">
        <f t="shared" si="8"/>
        <v>0</v>
      </c>
      <c r="N32" s="38"/>
      <c r="O32" s="38"/>
      <c r="P32" s="38"/>
      <c r="Q32" s="39"/>
      <c r="R32" s="4"/>
      <c r="S32" s="16"/>
      <c r="T32" s="16"/>
      <c r="U32" s="4"/>
    </row>
    <row r="33" spans="2:21" s="12" customFormat="1" ht="15.75" x14ac:dyDescent="0.2">
      <c r="B33" s="46" t="s">
        <v>41</v>
      </c>
      <c r="C33" s="47"/>
      <c r="D33" s="18">
        <f>[1]Query_Total!K29</f>
        <v>669574256.61000097</v>
      </c>
      <c r="E33" s="18">
        <f>[1]Query_Total!L29</f>
        <v>811727928.42000103</v>
      </c>
      <c r="F33" s="18">
        <f>[1]Query_Total!M29</f>
        <v>927850655.75</v>
      </c>
      <c r="G33" s="18">
        <f>[1]Query_Total!N29</f>
        <v>1429886455.74</v>
      </c>
      <c r="H33" s="18">
        <f>SUM(C13:J13)+D33+E33+F33+G33</f>
        <v>9558799916.9900036</v>
      </c>
      <c r="I33" s="18">
        <f>[1]Pessoal_3ºQuadrimestre!D27</f>
        <v>115276.14999961853</v>
      </c>
      <c r="J33" s="19">
        <f t="shared" si="6"/>
        <v>9558915193.1400032</v>
      </c>
      <c r="K33" s="38"/>
      <c r="L33" s="38">
        <f t="shared" si="7"/>
        <v>0</v>
      </c>
      <c r="M33" s="38">
        <f t="shared" si="8"/>
        <v>0</v>
      </c>
      <c r="N33" s="38"/>
      <c r="O33" s="38"/>
      <c r="P33" s="38"/>
      <c r="Q33" s="39"/>
      <c r="R33" s="4"/>
      <c r="S33" s="16"/>
      <c r="T33" s="16"/>
      <c r="U33" s="4"/>
    </row>
    <row r="34" spans="2:21" s="12" customFormat="1" ht="15.75" x14ac:dyDescent="0.2">
      <c r="B34" s="46" t="s">
        <v>20</v>
      </c>
      <c r="C34" s="47"/>
      <c r="D34" s="18">
        <f>SUM(D35:D36)</f>
        <v>2314741604.1300001</v>
      </c>
      <c r="E34" s="18">
        <f t="shared" ref="E34:I34" si="10">SUM(E35:E36)</f>
        <v>2289402681.1500001</v>
      </c>
      <c r="F34" s="18">
        <f t="shared" si="10"/>
        <v>2956851497.0900002</v>
      </c>
      <c r="G34" s="18">
        <f t="shared" si="10"/>
        <v>3791790292.3699999</v>
      </c>
      <c r="H34" s="18">
        <f>SUM(C14:J14)+D34+E34+F34+G34</f>
        <v>29283989554.389999</v>
      </c>
      <c r="I34" s="18">
        <f t="shared" si="10"/>
        <v>0</v>
      </c>
      <c r="J34" s="19">
        <f t="shared" si="6"/>
        <v>29283989554.389999</v>
      </c>
      <c r="K34" s="38"/>
      <c r="L34" s="38">
        <f t="shared" si="7"/>
        <v>0</v>
      </c>
      <c r="M34" s="38">
        <f t="shared" si="8"/>
        <v>0</v>
      </c>
      <c r="N34" s="38"/>
      <c r="O34" s="38"/>
      <c r="P34" s="38"/>
      <c r="Q34" s="39"/>
      <c r="R34" s="4"/>
      <c r="S34" s="16"/>
      <c r="T34" s="16"/>
      <c r="U34" s="4"/>
    </row>
    <row r="35" spans="2:21" s="12" customFormat="1" ht="15.75" x14ac:dyDescent="0.2">
      <c r="B35" s="46" t="s">
        <v>21</v>
      </c>
      <c r="C35" s="47"/>
      <c r="D35" s="18">
        <f>[1]Query_Total!K39</f>
        <v>1909319063.6500001</v>
      </c>
      <c r="E35" s="18">
        <f>[1]Query_Total!L39</f>
        <v>1892548027.73</v>
      </c>
      <c r="F35" s="18">
        <f>[1]Query_Total!M39</f>
        <v>2568993743.73</v>
      </c>
      <c r="G35" s="18">
        <f>[1]Query_Total!N39</f>
        <v>3034713783.1799998</v>
      </c>
      <c r="H35" s="18">
        <f t="shared" si="9"/>
        <v>24236928488.900002</v>
      </c>
      <c r="I35" s="18"/>
      <c r="J35" s="19">
        <f t="shared" si="6"/>
        <v>24236928488.900002</v>
      </c>
      <c r="K35" s="38"/>
      <c r="L35" s="38">
        <f t="shared" si="7"/>
        <v>0</v>
      </c>
      <c r="M35" s="38">
        <f t="shared" si="8"/>
        <v>0</v>
      </c>
      <c r="N35" s="38"/>
      <c r="O35" s="38"/>
      <c r="P35" s="38"/>
      <c r="Q35" s="39"/>
      <c r="R35" s="4"/>
      <c r="S35" s="16"/>
      <c r="T35" s="16"/>
      <c r="U35" s="4"/>
    </row>
    <row r="36" spans="2:21" s="12" customFormat="1" ht="15.75" x14ac:dyDescent="0.2">
      <c r="B36" s="46" t="s">
        <v>22</v>
      </c>
      <c r="C36" s="47"/>
      <c r="D36" s="18">
        <f>[1]Query_Total!K43</f>
        <v>405422540.48000002</v>
      </c>
      <c r="E36" s="18">
        <f>[1]Query_Total!L43</f>
        <v>396854653.42000002</v>
      </c>
      <c r="F36" s="18">
        <f>[1]Query_Total!M43</f>
        <v>387857753.36000001</v>
      </c>
      <c r="G36" s="18">
        <f>[1]Query_Total!N43</f>
        <v>757076509.19000006</v>
      </c>
      <c r="H36" s="18">
        <f t="shared" si="9"/>
        <v>5047061065.4900007</v>
      </c>
      <c r="I36" s="18">
        <v>0</v>
      </c>
      <c r="J36" s="19">
        <f t="shared" si="6"/>
        <v>5047061065.4900007</v>
      </c>
      <c r="K36" s="38"/>
      <c r="L36" s="38">
        <f t="shared" si="7"/>
        <v>0</v>
      </c>
      <c r="M36" s="38">
        <f t="shared" si="8"/>
        <v>0</v>
      </c>
      <c r="N36" s="38"/>
      <c r="O36" s="38"/>
      <c r="P36" s="38"/>
      <c r="Q36" s="39"/>
      <c r="R36" s="4"/>
      <c r="S36" s="16"/>
      <c r="T36" s="16"/>
      <c r="U36" s="4"/>
    </row>
    <row r="37" spans="2:21" s="12" customFormat="1" ht="30.75" customHeight="1" x14ac:dyDescent="0.2">
      <c r="B37" s="46" t="s">
        <v>23</v>
      </c>
      <c r="C37" s="47"/>
      <c r="D37" s="18">
        <f>[1]Query_Total!K48</f>
        <v>0</v>
      </c>
      <c r="E37" s="18">
        <f>[1]Query_Total!L48</f>
        <v>0</v>
      </c>
      <c r="F37" s="18">
        <f>[1]Query_Total!M48</f>
        <v>0</v>
      </c>
      <c r="G37" s="18">
        <f>[1]Query_Total!N48</f>
        <v>0</v>
      </c>
      <c r="H37" s="18">
        <f t="shared" si="9"/>
        <v>0</v>
      </c>
      <c r="I37" s="18">
        <v>0</v>
      </c>
      <c r="J37" s="19">
        <f t="shared" si="6"/>
        <v>0</v>
      </c>
      <c r="K37" s="38"/>
      <c r="L37" s="38">
        <f t="shared" si="7"/>
        <v>0</v>
      </c>
      <c r="M37" s="38">
        <f t="shared" si="8"/>
        <v>0</v>
      </c>
      <c r="N37" s="38"/>
      <c r="O37" s="38"/>
      <c r="P37" s="38"/>
      <c r="Q37" s="39"/>
      <c r="R37" s="4"/>
      <c r="S37" s="16"/>
      <c r="T37" s="16"/>
      <c r="U37" s="4"/>
    </row>
    <row r="38" spans="2:21" s="12" customFormat="1" ht="18.75" customHeight="1" x14ac:dyDescent="0.2">
      <c r="B38" s="46" t="s">
        <v>24</v>
      </c>
      <c r="C38" s="47"/>
      <c r="D38" s="18">
        <f>[1]Query_Total!K58</f>
        <v>203091901.44</v>
      </c>
      <c r="E38" s="18">
        <f>[1]Query_Total!L58</f>
        <v>-182049373.91</v>
      </c>
      <c r="F38" s="18">
        <f>[1]Query_Total!M58</f>
        <v>-52552996.479999997</v>
      </c>
      <c r="G38" s="18">
        <f>[1]Query_Total!N58</f>
        <v>-17509337.940000001</v>
      </c>
      <c r="H38" s="18">
        <f t="shared" si="9"/>
        <v>0</v>
      </c>
      <c r="I38" s="18"/>
      <c r="J38" s="19">
        <f t="shared" si="6"/>
        <v>0</v>
      </c>
      <c r="K38" s="38"/>
      <c r="L38" s="38">
        <f t="shared" si="7"/>
        <v>-1.1175870895385742E-8</v>
      </c>
      <c r="M38" s="38">
        <f t="shared" si="8"/>
        <v>0</v>
      </c>
      <c r="N38" s="38"/>
      <c r="O38" s="38"/>
      <c r="P38" s="38"/>
      <c r="Q38" s="39"/>
      <c r="R38" s="4"/>
      <c r="S38" s="16"/>
      <c r="T38" s="16"/>
      <c r="U38" s="4"/>
    </row>
    <row r="39" spans="2:21" s="12" customFormat="1" ht="28.5" customHeight="1" x14ac:dyDescent="0.2">
      <c r="B39" s="44" t="s">
        <v>25</v>
      </c>
      <c r="C39" s="45"/>
      <c r="D39" s="23">
        <f>SUM(D40:D46)</f>
        <v>798410376.64999998</v>
      </c>
      <c r="E39" s="23">
        <f t="shared" ref="E39:J39" si="11">SUM(E40:E46)</f>
        <v>934717265.91999996</v>
      </c>
      <c r="F39" s="23">
        <f t="shared" si="11"/>
        <v>960336017.18000019</v>
      </c>
      <c r="G39" s="23">
        <f t="shared" si="11"/>
        <v>2075450542.8800001</v>
      </c>
      <c r="H39" s="23">
        <f t="shared" si="11"/>
        <v>11623384447.921999</v>
      </c>
      <c r="I39" s="23">
        <f t="shared" si="11"/>
        <v>10017.440001010895</v>
      </c>
      <c r="J39" s="24">
        <f t="shared" si="11"/>
        <v>11623394465.362</v>
      </c>
      <c r="K39" s="38"/>
      <c r="L39" s="38">
        <f t="shared" si="7"/>
        <v>0</v>
      </c>
      <c r="M39" s="38">
        <f t="shared" si="8"/>
        <v>0</v>
      </c>
      <c r="N39" s="38"/>
      <c r="O39" s="38"/>
      <c r="P39" s="38"/>
      <c r="Q39" s="39"/>
      <c r="R39" s="4"/>
      <c r="S39" s="16"/>
      <c r="T39" s="16"/>
      <c r="U39" s="4"/>
    </row>
    <row r="40" spans="2:21" s="12" customFormat="1" ht="15.75" x14ac:dyDescent="0.2">
      <c r="B40" s="48" t="s">
        <v>26</v>
      </c>
      <c r="C40" s="49"/>
      <c r="D40" s="25">
        <f>[1]Query_Total!K62</f>
        <v>3142882.04</v>
      </c>
      <c r="E40" s="25">
        <f>[1]Query_Total!L62</f>
        <v>3366325.01</v>
      </c>
      <c r="F40" s="25">
        <f>[1]Query_Total!M62</f>
        <v>3785554.62</v>
      </c>
      <c r="G40" s="25">
        <f>[1]Query_Total!N62</f>
        <v>1140691.83</v>
      </c>
      <c r="H40" s="18">
        <f t="shared" si="9"/>
        <v>26034359.300000004</v>
      </c>
      <c r="I40" s="25"/>
      <c r="J40" s="26">
        <f t="shared" si="6"/>
        <v>26034359.300000004</v>
      </c>
      <c r="K40" s="38"/>
      <c r="L40" s="38">
        <f t="shared" si="7"/>
        <v>0</v>
      </c>
      <c r="M40" s="38">
        <f t="shared" si="8"/>
        <v>0</v>
      </c>
      <c r="N40" s="38"/>
      <c r="O40" s="38"/>
      <c r="P40" s="38"/>
      <c r="Q40" s="39"/>
      <c r="R40" s="4"/>
      <c r="S40" s="16"/>
      <c r="T40" s="16"/>
      <c r="U40" s="4"/>
    </row>
    <row r="41" spans="2:21" s="12" customFormat="1" ht="15.75" x14ac:dyDescent="0.2">
      <c r="B41" s="46" t="s">
        <v>27</v>
      </c>
      <c r="C41" s="50"/>
      <c r="D41" s="18">
        <f>[1]Query_Total!K65</f>
        <v>-3088525.3199999901</v>
      </c>
      <c r="E41" s="18">
        <f>[1]Query_Total!L65</f>
        <v>35957642.149999999</v>
      </c>
      <c r="F41" s="18">
        <f>[1]Query_Total!M65</f>
        <v>140925785.08000001</v>
      </c>
      <c r="G41" s="18">
        <f>[1]Query_Total!N65</f>
        <v>302213228.23000002</v>
      </c>
      <c r="H41" s="18">
        <f t="shared" si="9"/>
        <v>718037570.38999999</v>
      </c>
      <c r="I41" s="18">
        <f>[1]Pessoal_3ºQuadrimestre!D62</f>
        <v>10017.440001010895</v>
      </c>
      <c r="J41" s="19">
        <f t="shared" si="6"/>
        <v>718047587.830001</v>
      </c>
      <c r="K41" s="38"/>
      <c r="L41" s="38">
        <f t="shared" si="7"/>
        <v>0</v>
      </c>
      <c r="M41" s="38">
        <f t="shared" si="8"/>
        <v>0</v>
      </c>
      <c r="N41" s="38"/>
      <c r="O41" s="38"/>
      <c r="P41" s="38"/>
      <c r="Q41" s="39"/>
      <c r="R41" s="4"/>
      <c r="S41" s="16"/>
      <c r="T41" s="16"/>
      <c r="U41" s="4"/>
    </row>
    <row r="42" spans="2:21" s="12" customFormat="1" ht="15.75" x14ac:dyDescent="0.2">
      <c r="B42" s="46" t="s">
        <v>28</v>
      </c>
      <c r="C42" s="50"/>
      <c r="D42" s="18">
        <f>[1]Query_Total!K74</f>
        <v>5119046.55</v>
      </c>
      <c r="E42" s="18">
        <f>[1]Query_Total!L74</f>
        <v>4085395.58</v>
      </c>
      <c r="F42" s="18">
        <f>[1]Query_Total!M74</f>
        <v>14646485.470000001</v>
      </c>
      <c r="G42" s="18">
        <f>[1]Query_Total!N74</f>
        <v>14854856.460000001</v>
      </c>
      <c r="H42" s="18">
        <f t="shared" si="9"/>
        <v>113427133.31</v>
      </c>
      <c r="I42" s="18"/>
      <c r="J42" s="19">
        <f t="shared" si="6"/>
        <v>113427133.31</v>
      </c>
      <c r="K42" s="38"/>
      <c r="L42" s="38">
        <f t="shared" si="7"/>
        <v>0</v>
      </c>
      <c r="M42" s="38">
        <f t="shared" si="8"/>
        <v>0</v>
      </c>
      <c r="N42" s="38"/>
      <c r="O42" s="38"/>
      <c r="P42" s="38"/>
      <c r="Q42" s="39"/>
      <c r="R42" s="4"/>
      <c r="S42" s="16"/>
      <c r="T42" s="16"/>
      <c r="U42" s="4"/>
    </row>
    <row r="43" spans="2:21" s="12" customFormat="1" ht="15.75" x14ac:dyDescent="0.2">
      <c r="B43" s="46" t="s">
        <v>29</v>
      </c>
      <c r="C43" s="50"/>
      <c r="D43" s="18">
        <f>[1]Query_Total!K80</f>
        <v>790834769.98000002</v>
      </c>
      <c r="E43" s="18">
        <f>[1]Query_Total!L80</f>
        <v>888983305.42999995</v>
      </c>
      <c r="F43" s="18">
        <f>[1]Query_Total!M80</f>
        <v>798717481.44000006</v>
      </c>
      <c r="G43" s="18">
        <f>[1]Query_Total!N80</f>
        <v>1755018355.47</v>
      </c>
      <c r="H43" s="18">
        <f t="shared" si="9"/>
        <v>10738113597.4</v>
      </c>
      <c r="I43" s="18">
        <v>0</v>
      </c>
      <c r="J43" s="19">
        <f t="shared" si="6"/>
        <v>10738113597.4</v>
      </c>
      <c r="K43" s="38"/>
      <c r="L43" s="38">
        <f t="shared" si="7"/>
        <v>0</v>
      </c>
      <c r="M43" s="38">
        <f t="shared" si="8"/>
        <v>0</v>
      </c>
      <c r="N43" s="38"/>
      <c r="O43" s="38"/>
      <c r="P43" s="38"/>
      <c r="Q43" s="39"/>
      <c r="R43" s="4"/>
      <c r="S43" s="16"/>
      <c r="T43" s="16"/>
      <c r="U43" s="4"/>
    </row>
    <row r="44" spans="2:21" s="12" customFormat="1" ht="15.75" x14ac:dyDescent="0.2">
      <c r="B44" s="51" t="s">
        <v>30</v>
      </c>
      <c r="C44" s="50"/>
      <c r="D44" s="18"/>
      <c r="E44" s="18"/>
      <c r="F44" s="18"/>
      <c r="G44" s="18"/>
      <c r="H44" s="18">
        <f t="shared" si="9"/>
        <v>0</v>
      </c>
      <c r="I44" s="18"/>
      <c r="J44" s="19">
        <f t="shared" si="6"/>
        <v>0</v>
      </c>
      <c r="K44" s="38"/>
      <c r="L44" s="38">
        <f t="shared" si="7"/>
        <v>0</v>
      </c>
      <c r="M44" s="38">
        <f t="shared" si="8"/>
        <v>0</v>
      </c>
      <c r="N44" s="38"/>
      <c r="O44" s="38"/>
      <c r="P44" s="38"/>
      <c r="Q44" s="39"/>
      <c r="R44" s="4"/>
      <c r="S44" s="16"/>
      <c r="T44" s="16"/>
      <c r="U44" s="4"/>
    </row>
    <row r="45" spans="2:21" s="12" customFormat="1" ht="30.6" customHeight="1" x14ac:dyDescent="0.2">
      <c r="B45" s="51" t="s">
        <v>31</v>
      </c>
      <c r="C45" s="50"/>
      <c r="D45" s="18">
        <f>[1]Query_Total!K94</f>
        <v>2402203.4</v>
      </c>
      <c r="E45" s="18">
        <f>[1]Query_Total!L94</f>
        <v>2324597.75</v>
      </c>
      <c r="F45" s="18">
        <f>[1]Query_Total!M94</f>
        <v>2260710.5699999998</v>
      </c>
      <c r="G45" s="18">
        <f>[1]Query_Total!N94</f>
        <v>2223410.89</v>
      </c>
      <c r="H45" s="18">
        <f>SUM(C25:J25)+D45+E45+F45+G45</f>
        <v>27771787.522</v>
      </c>
      <c r="I45" s="18"/>
      <c r="J45" s="19">
        <f t="shared" si="6"/>
        <v>27771787.522</v>
      </c>
      <c r="K45" s="38"/>
      <c r="L45" s="38">
        <f t="shared" si="7"/>
        <v>0</v>
      </c>
      <c r="M45" s="38">
        <f t="shared" si="8"/>
        <v>0</v>
      </c>
      <c r="N45" s="38"/>
      <c r="O45" s="38"/>
      <c r="P45" s="38"/>
      <c r="Q45" s="39"/>
      <c r="R45" s="4"/>
      <c r="S45" s="16"/>
      <c r="T45" s="16"/>
      <c r="U45" s="4"/>
    </row>
    <row r="46" spans="2:21" s="12" customFormat="1" ht="15.75" x14ac:dyDescent="0.2">
      <c r="B46" s="51" t="s">
        <v>32</v>
      </c>
      <c r="C46" s="50"/>
      <c r="D46" s="31"/>
      <c r="E46" s="31"/>
      <c r="F46" s="31"/>
      <c r="G46" s="31"/>
      <c r="H46" s="18">
        <f t="shared" si="9"/>
        <v>0</v>
      </c>
      <c r="I46" s="31"/>
      <c r="J46" s="32">
        <f t="shared" si="6"/>
        <v>0</v>
      </c>
      <c r="K46" s="38"/>
      <c r="L46" s="38">
        <f t="shared" si="7"/>
        <v>0</v>
      </c>
      <c r="M46" s="38">
        <f t="shared" si="8"/>
        <v>0</v>
      </c>
      <c r="N46" s="38"/>
      <c r="O46" s="38"/>
      <c r="P46" s="38"/>
      <c r="Q46" s="39"/>
      <c r="R46" s="4"/>
      <c r="S46" s="16"/>
      <c r="T46" s="16"/>
      <c r="U46" s="4"/>
    </row>
    <row r="47" spans="2:21" s="12" customFormat="1" ht="25.5" customHeight="1" x14ac:dyDescent="0.2">
      <c r="B47" s="44" t="s">
        <v>33</v>
      </c>
      <c r="C47" s="45"/>
      <c r="D47" s="14">
        <f>D30-D39</f>
        <v>4346921458.4800005</v>
      </c>
      <c r="E47" s="14">
        <f t="shared" ref="E47:J47" si="12">E30-E39</f>
        <v>4111275116.9500008</v>
      </c>
      <c r="F47" s="14">
        <f t="shared" si="12"/>
        <v>5466585034.5300007</v>
      </c>
      <c r="G47" s="14">
        <f t="shared" si="12"/>
        <v>6924569552.0499983</v>
      </c>
      <c r="H47" s="14">
        <f t="shared" si="12"/>
        <v>53867339920.728004</v>
      </c>
      <c r="I47" s="14">
        <f t="shared" si="12"/>
        <v>1827794.4999996182</v>
      </c>
      <c r="J47" s="52">
        <f t="shared" si="12"/>
        <v>53869167715.228004</v>
      </c>
      <c r="K47" s="38"/>
      <c r="L47" s="38">
        <f t="shared" si="7"/>
        <v>0</v>
      </c>
      <c r="M47" s="38">
        <f t="shared" si="8"/>
        <v>0</v>
      </c>
      <c r="N47" s="38"/>
      <c r="O47" s="38"/>
      <c r="P47" s="38"/>
      <c r="Q47" s="39"/>
      <c r="R47" s="4"/>
      <c r="S47" s="16"/>
      <c r="T47" s="16"/>
      <c r="U47" s="4"/>
    </row>
    <row r="48" spans="2:21" x14ac:dyDescent="0.2">
      <c r="I48" s="16"/>
      <c r="K48" s="38"/>
      <c r="L48" s="38"/>
      <c r="M48" s="38"/>
      <c r="N48" s="38"/>
    </row>
    <row r="49" spans="2:14" ht="15" customHeight="1" x14ac:dyDescent="0.2">
      <c r="B49" s="54" t="s">
        <v>42</v>
      </c>
      <c r="C49" s="54"/>
      <c r="D49" s="54"/>
      <c r="E49" s="54"/>
      <c r="F49" s="54"/>
      <c r="G49" s="55"/>
      <c r="H49" s="56" t="s">
        <v>43</v>
      </c>
      <c r="I49" s="55"/>
      <c r="J49" s="57" t="s">
        <v>44</v>
      </c>
      <c r="K49" s="38"/>
      <c r="L49" s="38"/>
      <c r="M49" s="38"/>
      <c r="N49" s="38"/>
    </row>
    <row r="50" spans="2:14" x14ac:dyDescent="0.2">
      <c r="B50" s="58"/>
      <c r="C50" s="58"/>
      <c r="D50" s="58"/>
      <c r="E50" s="58"/>
      <c r="F50" s="58"/>
      <c r="G50" s="59"/>
      <c r="H50" s="60"/>
      <c r="I50" s="59"/>
      <c r="J50" s="61" t="s">
        <v>45</v>
      </c>
      <c r="K50" s="38"/>
      <c r="L50" s="38"/>
      <c r="M50" s="38"/>
      <c r="N50" s="38"/>
    </row>
    <row r="51" spans="2:14" x14ac:dyDescent="0.2">
      <c r="B51" s="62" t="s">
        <v>46</v>
      </c>
      <c r="C51" s="62"/>
      <c r="D51" s="62"/>
      <c r="E51" s="62"/>
      <c r="F51" s="62"/>
      <c r="G51" s="63"/>
      <c r="H51" s="64">
        <f>[2]Publicação!$H$73</f>
        <v>111739462561.63</v>
      </c>
      <c r="I51" s="65"/>
      <c r="J51" s="66"/>
      <c r="K51" s="38"/>
      <c r="L51" s="38"/>
      <c r="M51" s="38"/>
      <c r="N51" s="38"/>
    </row>
    <row r="52" spans="2:14" ht="15" customHeight="1" x14ac:dyDescent="0.2">
      <c r="B52" s="62" t="s">
        <v>47</v>
      </c>
      <c r="C52" s="62"/>
      <c r="D52" s="62"/>
      <c r="E52" s="62"/>
      <c r="F52" s="62"/>
      <c r="G52" s="63"/>
      <c r="H52" s="64">
        <f>[2]Publicação!$H$74</f>
        <v>11163115.01</v>
      </c>
      <c r="I52" s="65"/>
      <c r="J52" s="67"/>
      <c r="K52" s="38"/>
      <c r="L52" s="38"/>
      <c r="M52" s="38"/>
      <c r="N52" s="38"/>
    </row>
    <row r="53" spans="2:14" ht="15" customHeight="1" x14ac:dyDescent="0.2">
      <c r="B53" s="62" t="s">
        <v>48</v>
      </c>
      <c r="C53" s="62"/>
      <c r="D53" s="62"/>
      <c r="E53" s="62"/>
      <c r="F53" s="62"/>
      <c r="G53" s="63"/>
      <c r="H53" s="64">
        <f>[2]Publicação!$H$76</f>
        <v>5554676.6799999997</v>
      </c>
      <c r="I53" s="65"/>
      <c r="J53" s="67"/>
      <c r="K53" s="38"/>
      <c r="L53" s="38"/>
      <c r="M53" s="38"/>
      <c r="N53" s="38"/>
    </row>
    <row r="54" spans="2:14" ht="15" customHeight="1" x14ac:dyDescent="0.2">
      <c r="B54" s="62" t="s">
        <v>49</v>
      </c>
      <c r="C54" s="62"/>
      <c r="D54" s="62"/>
      <c r="E54" s="62"/>
      <c r="F54" s="62"/>
      <c r="G54" s="63"/>
      <c r="H54" s="67"/>
      <c r="I54" s="68">
        <v>0</v>
      </c>
      <c r="J54" s="67"/>
      <c r="K54" s="38"/>
      <c r="L54" s="38"/>
      <c r="M54" s="38"/>
      <c r="N54" s="38"/>
    </row>
    <row r="55" spans="2:14" x14ac:dyDescent="0.2">
      <c r="B55" s="62" t="s">
        <v>50</v>
      </c>
      <c r="C55" s="62"/>
      <c r="D55" s="62"/>
      <c r="E55" s="62"/>
      <c r="F55" s="62"/>
      <c r="G55" s="63"/>
      <c r="H55" s="67"/>
      <c r="I55" s="68">
        <v>0</v>
      </c>
      <c r="J55" s="67"/>
      <c r="K55" s="38"/>
      <c r="L55" s="38"/>
      <c r="M55" s="38"/>
      <c r="N55" s="38"/>
    </row>
    <row r="56" spans="2:14" ht="15" customHeight="1" x14ac:dyDescent="0.2">
      <c r="B56" s="69" t="s">
        <v>51</v>
      </c>
      <c r="C56" s="69"/>
      <c r="D56" s="69"/>
      <c r="E56" s="69"/>
      <c r="F56" s="69"/>
      <c r="G56" s="70"/>
      <c r="H56" s="71">
        <f>H51-H52-H53-I54-I55</f>
        <v>111722744769.94002</v>
      </c>
      <c r="I56" s="72"/>
      <c r="J56" s="66"/>
      <c r="K56" s="38"/>
      <c r="L56" s="38"/>
      <c r="M56" s="38"/>
      <c r="N56" s="38"/>
    </row>
    <row r="57" spans="2:14" ht="15.75" customHeight="1" x14ac:dyDescent="0.2">
      <c r="B57" s="69" t="s">
        <v>52</v>
      </c>
      <c r="C57" s="69"/>
      <c r="D57" s="69"/>
      <c r="E57" s="69"/>
      <c r="F57" s="69"/>
      <c r="G57" s="70"/>
      <c r="H57" s="73">
        <f>J47</f>
        <v>53869167715.228004</v>
      </c>
      <c r="I57" s="72"/>
      <c r="J57" s="74">
        <f>H57/H56*100</f>
        <v>48.216831609495131</v>
      </c>
      <c r="K57" s="38"/>
      <c r="L57" s="38"/>
      <c r="M57" s="38"/>
      <c r="N57" s="38"/>
    </row>
    <row r="58" spans="2:14" ht="15" customHeight="1" x14ac:dyDescent="0.2">
      <c r="B58" s="62" t="s">
        <v>53</v>
      </c>
      <c r="C58" s="62"/>
      <c r="D58" s="62"/>
      <c r="E58" s="62"/>
      <c r="F58" s="62"/>
      <c r="G58" s="63"/>
      <c r="H58" s="75">
        <f>H56*0.49</f>
        <v>54744144937.270607</v>
      </c>
      <c r="I58" s="76"/>
      <c r="J58" s="67">
        <v>49</v>
      </c>
      <c r="K58" s="38"/>
      <c r="L58" s="38"/>
      <c r="M58" s="38"/>
      <c r="N58" s="38"/>
    </row>
    <row r="59" spans="2:14" ht="15" customHeight="1" x14ac:dyDescent="0.2">
      <c r="B59" s="62" t="s">
        <v>54</v>
      </c>
      <c r="C59" s="62"/>
      <c r="D59" s="62"/>
      <c r="E59" s="62"/>
      <c r="F59" s="62"/>
      <c r="G59" s="63"/>
      <c r="H59" s="75">
        <f>H56*0.4655</f>
        <v>52006937690.407082</v>
      </c>
      <c r="I59" s="76"/>
      <c r="J59" s="67">
        <v>46.55</v>
      </c>
      <c r="K59" s="38"/>
      <c r="L59" s="38"/>
      <c r="M59" s="38"/>
      <c r="N59" s="38"/>
    </row>
    <row r="60" spans="2:14" ht="15" customHeight="1" x14ac:dyDescent="0.2">
      <c r="B60" s="62" t="s">
        <v>55</v>
      </c>
      <c r="C60" s="62"/>
      <c r="D60" s="62"/>
      <c r="E60" s="62"/>
      <c r="F60" s="62"/>
      <c r="G60" s="63"/>
      <c r="H60" s="75">
        <f>H56*0.441</f>
        <v>49269730443.543549</v>
      </c>
      <c r="I60" s="76"/>
      <c r="J60" s="67">
        <v>44.1</v>
      </c>
      <c r="K60" s="38"/>
      <c r="L60" s="38"/>
      <c r="M60" s="38"/>
      <c r="N60" s="38"/>
    </row>
    <row r="61" spans="2:14" x14ac:dyDescent="0.2">
      <c r="B61" s="77" t="s">
        <v>56</v>
      </c>
      <c r="C61" s="77"/>
      <c r="D61" s="77"/>
      <c r="E61" s="77"/>
      <c r="F61" s="77"/>
      <c r="G61" s="77"/>
      <c r="H61" s="3"/>
      <c r="K61" s="38"/>
      <c r="L61" s="38"/>
      <c r="M61" s="38"/>
      <c r="N61" s="38"/>
    </row>
    <row r="62" spans="2:14" ht="37.5" customHeight="1" x14ac:dyDescent="0.2">
      <c r="B62" s="78" t="s">
        <v>57</v>
      </c>
      <c r="C62" s="78"/>
      <c r="D62" s="78"/>
      <c r="E62" s="78"/>
      <c r="F62" s="78"/>
      <c r="G62" s="78"/>
      <c r="H62" s="78"/>
      <c r="I62" s="78"/>
      <c r="J62" s="78"/>
      <c r="K62" s="38"/>
      <c r="L62" s="38"/>
      <c r="M62" s="38"/>
      <c r="N62" s="38"/>
    </row>
    <row r="63" spans="2:14" x14ac:dyDescent="0.2">
      <c r="I63" s="53"/>
      <c r="K63" s="38"/>
      <c r="L63" s="38"/>
      <c r="M63" s="38"/>
      <c r="N63" s="38"/>
    </row>
    <row r="64" spans="2:14" x14ac:dyDescent="0.2">
      <c r="I64" s="53"/>
    </row>
    <row r="65" spans="3:10" x14ac:dyDescent="0.2">
      <c r="I65" s="53"/>
    </row>
    <row r="66" spans="3:10" x14ac:dyDescent="0.2">
      <c r="C66" s="16">
        <f>C10-C19-C27</f>
        <v>0</v>
      </c>
      <c r="D66" s="16">
        <f t="shared" ref="D66:J66" si="13">D10-D19-D27</f>
        <v>0</v>
      </c>
      <c r="E66" s="16">
        <f t="shared" si="13"/>
        <v>0</v>
      </c>
      <c r="F66" s="16">
        <f t="shared" si="13"/>
        <v>0</v>
      </c>
      <c r="G66" s="16">
        <f t="shared" si="13"/>
        <v>0</v>
      </c>
      <c r="H66" s="16">
        <f t="shared" si="13"/>
        <v>0</v>
      </c>
      <c r="I66" s="16">
        <f t="shared" si="13"/>
        <v>0</v>
      </c>
      <c r="J66" s="16">
        <f t="shared" si="13"/>
        <v>0</v>
      </c>
    </row>
    <row r="67" spans="3:10" x14ac:dyDescent="0.2">
      <c r="D67" s="16">
        <f>D30-D39-D47</f>
        <v>0</v>
      </c>
      <c r="E67" s="16">
        <f t="shared" ref="E67:J67" si="14">E30-E39-E47</f>
        <v>0</v>
      </c>
      <c r="F67" s="16">
        <f t="shared" si="14"/>
        <v>0</v>
      </c>
      <c r="G67" s="16">
        <f t="shared" si="14"/>
        <v>0</v>
      </c>
      <c r="H67" s="16">
        <f t="shared" si="14"/>
        <v>0</v>
      </c>
      <c r="I67" s="16">
        <f t="shared" si="14"/>
        <v>0</v>
      </c>
      <c r="J67" s="16">
        <f t="shared" si="14"/>
        <v>0</v>
      </c>
    </row>
  </sheetData>
  <mergeCells count="47">
    <mergeCell ref="B60:G60"/>
    <mergeCell ref="H60:I60"/>
    <mergeCell ref="B61:G61"/>
    <mergeCell ref="B62:J62"/>
    <mergeCell ref="B57:G57"/>
    <mergeCell ref="H57:I57"/>
    <mergeCell ref="B58:G58"/>
    <mergeCell ref="H58:I58"/>
    <mergeCell ref="B59:G59"/>
    <mergeCell ref="H59:I59"/>
    <mergeCell ref="B53:G53"/>
    <mergeCell ref="H53:I53"/>
    <mergeCell ref="B54:G54"/>
    <mergeCell ref="B55:G55"/>
    <mergeCell ref="B56:G56"/>
    <mergeCell ref="H56:I56"/>
    <mergeCell ref="B47:C47"/>
    <mergeCell ref="B49:G50"/>
    <mergeCell ref="H49:I50"/>
    <mergeCell ref="B51:G51"/>
    <mergeCell ref="H51:I51"/>
    <mergeCell ref="B52:G52"/>
    <mergeCell ref="H52:I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:J2"/>
    <mergeCell ref="B3:J3"/>
    <mergeCell ref="B4:J4"/>
    <mergeCell ref="B5:J5"/>
    <mergeCell ref="B6:J6"/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Publicação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Amorim Correa Garcias</dc:creator>
  <cp:lastModifiedBy>Tulio Amorim Correa Garcias</cp:lastModifiedBy>
  <dcterms:created xsi:type="dcterms:W3CDTF">2026-01-20T18:01:43Z</dcterms:created>
  <dcterms:modified xsi:type="dcterms:W3CDTF">2026-01-20T18:02:03Z</dcterms:modified>
</cp:coreProperties>
</file>